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tec Pro\Documents\COSIT\Projets\AEJ PA-PS\Canevas\"/>
    </mc:Choice>
  </mc:AlternateContent>
  <xr:revisionPtr revIDLastSave="0" documentId="13_ncr:1_{CCB4F283-D18C-455B-B845-8ED64625818E}" xr6:coauthVersionLast="47" xr6:coauthVersionMax="47" xr10:uidLastSave="{00000000-0000-0000-0000-000000000000}"/>
  <bookViews>
    <workbookView xWindow="-108" yWindow="-108" windowWidth="23256" windowHeight="12456" xr2:uid="{E955A035-0B5F-4C49-9A60-5446D5546604}"/>
  </bookViews>
  <sheets>
    <sheet name="Liste" sheetId="1" r:id="rId1"/>
  </sheets>
  <definedNames>
    <definedName name="_xlnm._FilterDatabase" localSheetId="0" hidden="1">Liste!$A$4:$H$40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</calcChain>
</file>

<file path=xl/sharedStrings.xml><?xml version="1.0" encoding="utf-8"?>
<sst xmlns="http://schemas.openxmlformats.org/spreadsheetml/2006/main" count="46" uniqueCount="11">
  <si>
    <t>N°</t>
  </si>
  <si>
    <t>Periode</t>
  </si>
  <si>
    <t>Date</t>
  </si>
  <si>
    <t>Capital début</t>
  </si>
  <si>
    <t>Intérêt</t>
  </si>
  <si>
    <t>Amortissement</t>
  </si>
  <si>
    <t>Mensualité</t>
  </si>
  <si>
    <t>Capital restant dû</t>
  </si>
  <si>
    <t>AEJ - LISTE DES REMBOURSEMENT A FAIRE PAR LE BENEFICIAIRE</t>
  </si>
  <si>
    <t>Statut paiment</t>
  </si>
  <si>
    <t>NON_PAYE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</si>
</sst>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ptos Narrow"/>
      <family val="2"/>
      <scheme val="minor"/>
    </font>
    <font>
      <sz val="10"/>
      <color rgb="FF000000"/>
      <name val="Candara"/>
      <family val="2"/>
    </font>
    <font>
      <sz val="11"/>
      <name val="Candara"/>
      <family val="2"/>
    </font>
    <font>
      <b/>
      <sz val="11"/>
      <color theme="0"/>
      <name val="Candara"/>
      <family val="2"/>
    </font>
    <font>
      <sz val="10"/>
      <color theme="1"/>
      <name val="Candara"/>
      <family val="2"/>
    </font>
    <font>
      <b/>
      <sz val="12"/>
      <color theme="1"/>
      <name val="Candara"/>
      <family val="2"/>
    </font>
    <font>
      <b/>
      <sz val="14"/>
      <color theme="0"/>
      <name val="Candara"/>
      <family val="2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0"/>
      <color theme="0"/>
      <name val="Candara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 wrapText="1"/>
    </xf>
    <xf numFmtId="14" fontId="7" fillId="0" borderId="0" xfId="0" applyNumberFormat="1" applyFont="1" applyAlignment="1">
      <alignment vertical="center" wrapText="1"/>
    </xf>
    <xf numFmtId="3" fontId="7" fillId="0" borderId="0" xfId="0" applyNumberFormat="1" applyFont="1" applyAlignment="1">
      <alignment horizontal="right" vertical="center" wrapText="1"/>
    </xf>
    <xf numFmtId="0" fontId="10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3" fontId="2" fillId="0" borderId="0" xfId="0" applyNumberFormat="1" applyFont="1" applyFill="1" applyAlignment="1">
      <alignment horizontal="right" vertical="center" wrapText="1"/>
    </xf>
  </cellXfs>
  <cellStyles count="1">
    <cellStyle name="Normal" xfId="0" builtinId="0"/>
  </cellStyles>
  <dxfs count="20">
    <dxf>
      <font>
        <strike val="0"/>
        <outline val="0"/>
        <shadow val="0"/>
        <u val="none"/>
        <vertAlign val="baseline"/>
        <sz val="12"/>
        <color theme="1"/>
        <name val="Candara"/>
        <family val="2"/>
        <scheme val="none"/>
      </font>
      <numFmt numFmtId="3" formatCode="#,##0"/>
      <fill>
        <patternFill patternType="none">
          <bgColor auto="1"/>
        </patternFill>
      </fill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ndara"/>
        <family val="2"/>
        <scheme val="none"/>
      </font>
      <numFmt numFmtId="3" formatCode="#,##0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ndara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ndara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ndara"/>
        <family val="2"/>
        <scheme val="none"/>
      </font>
      <numFmt numFmtId="3" formatCode="#,##0"/>
      <fill>
        <patternFill patternType="none"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ndara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ndara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ndara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ndara"/>
        <family val="2"/>
        <scheme val="none"/>
      </font>
      <numFmt numFmtId="3" formatCode="#,##0"/>
      <fill>
        <patternFill patternType="none"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ndara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ndara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ndara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ndara"/>
        <family val="2"/>
        <scheme val="none"/>
      </font>
      <numFmt numFmtId="19" formatCode="dd/mm/yyyy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ndara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ndara"/>
        <family val="2"/>
        <scheme val="none"/>
      </font>
      <fill>
        <patternFill patternType="none"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ndara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ndara"/>
        <family val="2"/>
        <scheme val="none"/>
      </font>
      <fill>
        <patternFill patternType="none">
          <bgColor auto="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ndara"/>
        <family val="2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391D0BB-E10F-4882-BCD0-7CD9C9BD5E00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50976596-A6DA-4D37-86EC-D25CE8EBC1E4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DAAF473B-6791-4B85-996A-8F483A75AF50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6137CDDF-F6A0-423E-BA4F-A816A79F22D5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AD7863E2-48BA-433C-91E3-C56C7BB469E4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40AC4275-724B-49E9-A53B-71F1DA87AE5E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F228D5E6-0362-44AA-8C69-4A0448594123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F67798C8-D433-4FBA-9893-A0601B60EC29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470946CF-5EEA-4420-B0EB-C52D156C7C18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950DDFC8-5533-4B04-A02E-24591969D3E6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7118F460-3809-4D7B-B5DC-6B751140A90B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0ED78843-92AA-4E69-B428-D57A061B0834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AAA72B65-171B-47E2-83A0-07AA7B4C3883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67A55835-8024-460C-AE46-1CA53E694DED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D6ACCC72-F191-4C6B-86B4-8AEA19896AAD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E0B3CDD6-8919-4672-8D3F-DD29E305C8B5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D60FF4B1-6C50-4C85-AE43-8FEC8CD04747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20" name="ZoneTexte 19">
          <a:extLst>
            <a:ext uri="{FF2B5EF4-FFF2-40B4-BE49-F238E27FC236}">
              <a16:creationId xmlns:a16="http://schemas.microsoft.com/office/drawing/2014/main" id="{C957EBCC-9E9D-475F-B4F1-2CF81D9669A0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21" name="ZoneTexte 20">
          <a:extLst>
            <a:ext uri="{FF2B5EF4-FFF2-40B4-BE49-F238E27FC236}">
              <a16:creationId xmlns:a16="http://schemas.microsoft.com/office/drawing/2014/main" id="{C2F32E08-D24E-4F72-ABE3-081437DA8613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22" name="ZoneTexte 21">
          <a:extLst>
            <a:ext uri="{FF2B5EF4-FFF2-40B4-BE49-F238E27FC236}">
              <a16:creationId xmlns:a16="http://schemas.microsoft.com/office/drawing/2014/main" id="{82774B70-DDB9-4FC9-8331-D11BCA00BAC8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23" name="ZoneTexte 22">
          <a:extLst>
            <a:ext uri="{FF2B5EF4-FFF2-40B4-BE49-F238E27FC236}">
              <a16:creationId xmlns:a16="http://schemas.microsoft.com/office/drawing/2014/main" id="{766C0F3C-A22B-45C3-97AE-B647D437B6C6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24" name="ZoneTexte 23">
          <a:extLst>
            <a:ext uri="{FF2B5EF4-FFF2-40B4-BE49-F238E27FC236}">
              <a16:creationId xmlns:a16="http://schemas.microsoft.com/office/drawing/2014/main" id="{22DF8E11-1461-4725-9C4D-630460693877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4EA94C20-D99B-4D2D-ACD6-88B83C98EE19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26" name="ZoneTexte 25">
          <a:extLst>
            <a:ext uri="{FF2B5EF4-FFF2-40B4-BE49-F238E27FC236}">
              <a16:creationId xmlns:a16="http://schemas.microsoft.com/office/drawing/2014/main" id="{06329F84-7293-4321-AF25-B0FCF603358B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27" name="ZoneTexte 26">
          <a:extLst>
            <a:ext uri="{FF2B5EF4-FFF2-40B4-BE49-F238E27FC236}">
              <a16:creationId xmlns:a16="http://schemas.microsoft.com/office/drawing/2014/main" id="{117ECF57-9FE6-4513-9D73-560921410E68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28" name="ZoneTexte 27">
          <a:extLst>
            <a:ext uri="{FF2B5EF4-FFF2-40B4-BE49-F238E27FC236}">
              <a16:creationId xmlns:a16="http://schemas.microsoft.com/office/drawing/2014/main" id="{FE4DD911-46ED-452F-B8E0-BBA5C6A5AF9D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29" name="ZoneTexte 28">
          <a:extLst>
            <a:ext uri="{FF2B5EF4-FFF2-40B4-BE49-F238E27FC236}">
              <a16:creationId xmlns:a16="http://schemas.microsoft.com/office/drawing/2014/main" id="{C869B749-5360-4426-9C59-B70474923F08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30" name="ZoneTexte 29">
          <a:extLst>
            <a:ext uri="{FF2B5EF4-FFF2-40B4-BE49-F238E27FC236}">
              <a16:creationId xmlns:a16="http://schemas.microsoft.com/office/drawing/2014/main" id="{758EEB47-1B88-47ED-9B48-754A23FF248C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31" name="ZoneTexte 30">
          <a:extLst>
            <a:ext uri="{FF2B5EF4-FFF2-40B4-BE49-F238E27FC236}">
              <a16:creationId xmlns:a16="http://schemas.microsoft.com/office/drawing/2014/main" id="{5B5375A9-61D4-4F68-835F-1D3C1898A7E5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32" name="ZoneTexte 31">
          <a:extLst>
            <a:ext uri="{FF2B5EF4-FFF2-40B4-BE49-F238E27FC236}">
              <a16:creationId xmlns:a16="http://schemas.microsoft.com/office/drawing/2014/main" id="{E8BB353E-B233-4DE6-9A8E-05E5C635DD56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33" name="ZoneTexte 32">
          <a:extLst>
            <a:ext uri="{FF2B5EF4-FFF2-40B4-BE49-F238E27FC236}">
              <a16:creationId xmlns:a16="http://schemas.microsoft.com/office/drawing/2014/main" id="{28505E1F-F7B4-4005-B626-C21A039D2CA3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34" name="ZoneTexte 33">
          <a:extLst>
            <a:ext uri="{FF2B5EF4-FFF2-40B4-BE49-F238E27FC236}">
              <a16:creationId xmlns:a16="http://schemas.microsoft.com/office/drawing/2014/main" id="{0209403B-31CC-458F-8AF2-6A8B93F52425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35" name="ZoneTexte 34">
          <a:extLst>
            <a:ext uri="{FF2B5EF4-FFF2-40B4-BE49-F238E27FC236}">
              <a16:creationId xmlns:a16="http://schemas.microsoft.com/office/drawing/2014/main" id="{8E082F3B-01C9-424F-AB45-394D72E13F43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36" name="ZoneTexte 35">
          <a:extLst>
            <a:ext uri="{FF2B5EF4-FFF2-40B4-BE49-F238E27FC236}">
              <a16:creationId xmlns:a16="http://schemas.microsoft.com/office/drawing/2014/main" id="{0FC605E2-1F20-492E-BD6A-6EC9B99DDED6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37" name="ZoneTexte 36">
          <a:extLst>
            <a:ext uri="{FF2B5EF4-FFF2-40B4-BE49-F238E27FC236}">
              <a16:creationId xmlns:a16="http://schemas.microsoft.com/office/drawing/2014/main" id="{FECF42B7-A312-48D2-AE3A-572BD50AE9C6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38" name="ZoneTexte 37">
          <a:extLst>
            <a:ext uri="{FF2B5EF4-FFF2-40B4-BE49-F238E27FC236}">
              <a16:creationId xmlns:a16="http://schemas.microsoft.com/office/drawing/2014/main" id="{8D192400-21C5-48C1-B2D9-C7DC88C7BB2C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39" name="ZoneTexte 38">
          <a:extLst>
            <a:ext uri="{FF2B5EF4-FFF2-40B4-BE49-F238E27FC236}">
              <a16:creationId xmlns:a16="http://schemas.microsoft.com/office/drawing/2014/main" id="{D0B80FAA-51CD-4B49-AF68-4DAAC3F8D5FF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40" name="ZoneTexte 39">
          <a:extLst>
            <a:ext uri="{FF2B5EF4-FFF2-40B4-BE49-F238E27FC236}">
              <a16:creationId xmlns:a16="http://schemas.microsoft.com/office/drawing/2014/main" id="{6D1B608F-C989-4137-BA6D-5FA3DA4B3B44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41" name="ZoneTexte 40">
          <a:extLst>
            <a:ext uri="{FF2B5EF4-FFF2-40B4-BE49-F238E27FC236}">
              <a16:creationId xmlns:a16="http://schemas.microsoft.com/office/drawing/2014/main" id="{9DBD5394-FEA1-488D-91AB-CDE785AE2E14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42" name="ZoneTexte 41">
          <a:extLst>
            <a:ext uri="{FF2B5EF4-FFF2-40B4-BE49-F238E27FC236}">
              <a16:creationId xmlns:a16="http://schemas.microsoft.com/office/drawing/2014/main" id="{4B22A609-05C8-42C2-8787-30F3018237C3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43" name="ZoneTexte 42">
          <a:extLst>
            <a:ext uri="{FF2B5EF4-FFF2-40B4-BE49-F238E27FC236}">
              <a16:creationId xmlns:a16="http://schemas.microsoft.com/office/drawing/2014/main" id="{D7153FFD-A975-413D-B401-A8D7DE2AB58C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40</xdr:row>
      <xdr:rowOff>0</xdr:rowOff>
    </xdr:from>
    <xdr:ext cx="65" cy="172227"/>
    <xdr:sp macro="" textlink="">
      <xdr:nvSpPr>
        <xdr:cNvPr id="44" name="ZoneTexte 43">
          <a:extLst>
            <a:ext uri="{FF2B5EF4-FFF2-40B4-BE49-F238E27FC236}">
              <a16:creationId xmlns:a16="http://schemas.microsoft.com/office/drawing/2014/main" id="{4D76F08B-02AE-40B1-8FF4-EC05FF876531}"/>
            </a:ext>
          </a:extLst>
        </xdr:cNvPr>
        <xdr:cNvSpPr txBox="1"/>
      </xdr:nvSpPr>
      <xdr:spPr>
        <a:xfrm>
          <a:off x="8435340" y="18227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0</xdr:row>
      <xdr:rowOff>163688</xdr:rowOff>
    </xdr:from>
    <xdr:ext cx="65" cy="172227"/>
    <xdr:sp macro="" textlink="">
      <xdr:nvSpPr>
        <xdr:cNvPr id="45" name="ZoneTexte 44">
          <a:extLst>
            <a:ext uri="{FF2B5EF4-FFF2-40B4-BE49-F238E27FC236}">
              <a16:creationId xmlns:a16="http://schemas.microsoft.com/office/drawing/2014/main" id="{A2565BF1-BFB0-4002-B8A1-029E03625183}"/>
            </a:ext>
          </a:extLst>
        </xdr:cNvPr>
        <xdr:cNvSpPr txBox="1"/>
      </xdr:nvSpPr>
      <xdr:spPr>
        <a:xfrm>
          <a:off x="8435340" y="1636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0</xdr:row>
      <xdr:rowOff>163688</xdr:rowOff>
    </xdr:from>
    <xdr:ext cx="65" cy="172227"/>
    <xdr:sp macro="" textlink="">
      <xdr:nvSpPr>
        <xdr:cNvPr id="46" name="ZoneTexte 45">
          <a:extLst>
            <a:ext uri="{FF2B5EF4-FFF2-40B4-BE49-F238E27FC236}">
              <a16:creationId xmlns:a16="http://schemas.microsoft.com/office/drawing/2014/main" id="{419F6B30-EBC2-423F-810D-EA1BC2354455}"/>
            </a:ext>
          </a:extLst>
        </xdr:cNvPr>
        <xdr:cNvSpPr txBox="1"/>
      </xdr:nvSpPr>
      <xdr:spPr>
        <a:xfrm>
          <a:off x="8435340" y="1636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47" name="ZoneTexte 46">
          <a:extLst>
            <a:ext uri="{FF2B5EF4-FFF2-40B4-BE49-F238E27FC236}">
              <a16:creationId xmlns:a16="http://schemas.microsoft.com/office/drawing/2014/main" id="{53E84B5C-EDF5-4F5C-94F3-DD52EBCC4E94}"/>
            </a:ext>
          </a:extLst>
        </xdr:cNvPr>
        <xdr:cNvSpPr txBox="1"/>
      </xdr:nvSpPr>
      <xdr:spPr>
        <a:xfrm>
          <a:off x="843534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48" name="ZoneTexte 47">
          <a:extLst>
            <a:ext uri="{FF2B5EF4-FFF2-40B4-BE49-F238E27FC236}">
              <a16:creationId xmlns:a16="http://schemas.microsoft.com/office/drawing/2014/main" id="{72B0CD34-E900-4EB8-B8AE-76EDDC140CE8}"/>
            </a:ext>
          </a:extLst>
        </xdr:cNvPr>
        <xdr:cNvSpPr txBox="1"/>
      </xdr:nvSpPr>
      <xdr:spPr>
        <a:xfrm>
          <a:off x="843534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0</xdr:row>
      <xdr:rowOff>163688</xdr:rowOff>
    </xdr:from>
    <xdr:ext cx="65" cy="172227"/>
    <xdr:sp macro="" textlink="">
      <xdr:nvSpPr>
        <xdr:cNvPr id="49" name="ZoneTexte 48">
          <a:extLst>
            <a:ext uri="{FF2B5EF4-FFF2-40B4-BE49-F238E27FC236}">
              <a16:creationId xmlns:a16="http://schemas.microsoft.com/office/drawing/2014/main" id="{7CCE8418-FDAF-4582-81AA-98EA23C7BB39}"/>
            </a:ext>
          </a:extLst>
        </xdr:cNvPr>
        <xdr:cNvSpPr txBox="1"/>
      </xdr:nvSpPr>
      <xdr:spPr>
        <a:xfrm>
          <a:off x="8435340" y="1636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0</xdr:row>
      <xdr:rowOff>163688</xdr:rowOff>
    </xdr:from>
    <xdr:ext cx="65" cy="172227"/>
    <xdr:sp macro="" textlink="">
      <xdr:nvSpPr>
        <xdr:cNvPr id="50" name="ZoneTexte 49">
          <a:extLst>
            <a:ext uri="{FF2B5EF4-FFF2-40B4-BE49-F238E27FC236}">
              <a16:creationId xmlns:a16="http://schemas.microsoft.com/office/drawing/2014/main" id="{F6CEEF5D-3EEB-4ED1-A6FD-8AD0FCCE7AFB}"/>
            </a:ext>
          </a:extLst>
        </xdr:cNvPr>
        <xdr:cNvSpPr txBox="1"/>
      </xdr:nvSpPr>
      <xdr:spPr>
        <a:xfrm>
          <a:off x="8435340" y="1636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51" name="ZoneTexte 50">
          <a:extLst>
            <a:ext uri="{FF2B5EF4-FFF2-40B4-BE49-F238E27FC236}">
              <a16:creationId xmlns:a16="http://schemas.microsoft.com/office/drawing/2014/main" id="{D0C860CD-C9C5-4463-ACAC-1D042F83F81E}"/>
            </a:ext>
          </a:extLst>
        </xdr:cNvPr>
        <xdr:cNvSpPr txBox="1"/>
      </xdr:nvSpPr>
      <xdr:spPr>
        <a:xfrm>
          <a:off x="843534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52" name="ZoneTexte 51">
          <a:extLst>
            <a:ext uri="{FF2B5EF4-FFF2-40B4-BE49-F238E27FC236}">
              <a16:creationId xmlns:a16="http://schemas.microsoft.com/office/drawing/2014/main" id="{0BAB561D-433B-4EAA-86D2-E248251F8BD1}"/>
            </a:ext>
          </a:extLst>
        </xdr:cNvPr>
        <xdr:cNvSpPr txBox="1"/>
      </xdr:nvSpPr>
      <xdr:spPr>
        <a:xfrm>
          <a:off x="843534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0</xdr:row>
      <xdr:rowOff>163688</xdr:rowOff>
    </xdr:from>
    <xdr:ext cx="65" cy="172227"/>
    <xdr:sp macro="" textlink="">
      <xdr:nvSpPr>
        <xdr:cNvPr id="53" name="ZoneTexte 52">
          <a:extLst>
            <a:ext uri="{FF2B5EF4-FFF2-40B4-BE49-F238E27FC236}">
              <a16:creationId xmlns:a16="http://schemas.microsoft.com/office/drawing/2014/main" id="{9CCC20E3-164C-4869-A81F-96E2BE248671}"/>
            </a:ext>
          </a:extLst>
        </xdr:cNvPr>
        <xdr:cNvSpPr txBox="1"/>
      </xdr:nvSpPr>
      <xdr:spPr>
        <a:xfrm>
          <a:off x="8435340" y="1636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0</xdr:row>
      <xdr:rowOff>163688</xdr:rowOff>
    </xdr:from>
    <xdr:ext cx="65" cy="172227"/>
    <xdr:sp macro="" textlink="">
      <xdr:nvSpPr>
        <xdr:cNvPr id="54" name="ZoneTexte 53">
          <a:extLst>
            <a:ext uri="{FF2B5EF4-FFF2-40B4-BE49-F238E27FC236}">
              <a16:creationId xmlns:a16="http://schemas.microsoft.com/office/drawing/2014/main" id="{54A43A9A-3827-4A21-9051-0FFD61103928}"/>
            </a:ext>
          </a:extLst>
        </xdr:cNvPr>
        <xdr:cNvSpPr txBox="1"/>
      </xdr:nvSpPr>
      <xdr:spPr>
        <a:xfrm>
          <a:off x="8435340" y="1636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55" name="ZoneTexte 54">
          <a:extLst>
            <a:ext uri="{FF2B5EF4-FFF2-40B4-BE49-F238E27FC236}">
              <a16:creationId xmlns:a16="http://schemas.microsoft.com/office/drawing/2014/main" id="{3B96B36F-F2ED-4A0F-A476-224E545CC347}"/>
            </a:ext>
          </a:extLst>
        </xdr:cNvPr>
        <xdr:cNvSpPr txBox="1"/>
      </xdr:nvSpPr>
      <xdr:spPr>
        <a:xfrm>
          <a:off x="843534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56" name="ZoneTexte 55">
          <a:extLst>
            <a:ext uri="{FF2B5EF4-FFF2-40B4-BE49-F238E27FC236}">
              <a16:creationId xmlns:a16="http://schemas.microsoft.com/office/drawing/2014/main" id="{07EE3345-3DBA-4F63-88DA-032DCC08D299}"/>
            </a:ext>
          </a:extLst>
        </xdr:cNvPr>
        <xdr:cNvSpPr txBox="1"/>
      </xdr:nvSpPr>
      <xdr:spPr>
        <a:xfrm>
          <a:off x="843534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0</xdr:row>
      <xdr:rowOff>163688</xdr:rowOff>
    </xdr:from>
    <xdr:ext cx="65" cy="172227"/>
    <xdr:sp macro="" textlink="">
      <xdr:nvSpPr>
        <xdr:cNvPr id="57" name="ZoneTexte 56">
          <a:extLst>
            <a:ext uri="{FF2B5EF4-FFF2-40B4-BE49-F238E27FC236}">
              <a16:creationId xmlns:a16="http://schemas.microsoft.com/office/drawing/2014/main" id="{1AB9D5C6-A346-4E7E-AD6B-FF18512F77C6}"/>
            </a:ext>
          </a:extLst>
        </xdr:cNvPr>
        <xdr:cNvSpPr txBox="1"/>
      </xdr:nvSpPr>
      <xdr:spPr>
        <a:xfrm>
          <a:off x="8435340" y="1636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0</xdr:row>
      <xdr:rowOff>163688</xdr:rowOff>
    </xdr:from>
    <xdr:ext cx="65" cy="172227"/>
    <xdr:sp macro="" textlink="">
      <xdr:nvSpPr>
        <xdr:cNvPr id="58" name="ZoneTexte 57">
          <a:extLst>
            <a:ext uri="{FF2B5EF4-FFF2-40B4-BE49-F238E27FC236}">
              <a16:creationId xmlns:a16="http://schemas.microsoft.com/office/drawing/2014/main" id="{97CD79F6-6A05-4E0B-95BB-360947268EE4}"/>
            </a:ext>
          </a:extLst>
        </xdr:cNvPr>
        <xdr:cNvSpPr txBox="1"/>
      </xdr:nvSpPr>
      <xdr:spPr>
        <a:xfrm>
          <a:off x="8435340" y="1636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59" name="ZoneTexte 58">
          <a:extLst>
            <a:ext uri="{FF2B5EF4-FFF2-40B4-BE49-F238E27FC236}">
              <a16:creationId xmlns:a16="http://schemas.microsoft.com/office/drawing/2014/main" id="{784E624E-198A-4D89-951F-94462A2FB931}"/>
            </a:ext>
          </a:extLst>
        </xdr:cNvPr>
        <xdr:cNvSpPr txBox="1"/>
      </xdr:nvSpPr>
      <xdr:spPr>
        <a:xfrm>
          <a:off x="843534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60" name="ZoneTexte 59">
          <a:extLst>
            <a:ext uri="{FF2B5EF4-FFF2-40B4-BE49-F238E27FC236}">
              <a16:creationId xmlns:a16="http://schemas.microsoft.com/office/drawing/2014/main" id="{29977760-FDB0-432E-B2FE-F8F4D7B39354}"/>
            </a:ext>
          </a:extLst>
        </xdr:cNvPr>
        <xdr:cNvSpPr txBox="1"/>
      </xdr:nvSpPr>
      <xdr:spPr>
        <a:xfrm>
          <a:off x="843534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1" name="ZoneTexte 60">
          <a:extLst>
            <a:ext uri="{FF2B5EF4-FFF2-40B4-BE49-F238E27FC236}">
              <a16:creationId xmlns:a16="http://schemas.microsoft.com/office/drawing/2014/main" id="{B00576DC-7B8C-4B78-BE90-D53C706E8505}"/>
            </a:ext>
          </a:extLst>
        </xdr:cNvPr>
        <xdr:cNvSpPr txBox="1"/>
      </xdr:nvSpPr>
      <xdr:spPr>
        <a:xfrm>
          <a:off x="8435340" y="1752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2" name="ZoneTexte 61">
          <a:extLst>
            <a:ext uri="{FF2B5EF4-FFF2-40B4-BE49-F238E27FC236}">
              <a16:creationId xmlns:a16="http://schemas.microsoft.com/office/drawing/2014/main" id="{C8488061-614E-4C34-AED0-4BF82B5278C2}"/>
            </a:ext>
          </a:extLst>
        </xdr:cNvPr>
        <xdr:cNvSpPr txBox="1"/>
      </xdr:nvSpPr>
      <xdr:spPr>
        <a:xfrm>
          <a:off x="8435340" y="1752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3" name="ZoneTexte 62">
          <a:extLst>
            <a:ext uri="{FF2B5EF4-FFF2-40B4-BE49-F238E27FC236}">
              <a16:creationId xmlns:a16="http://schemas.microsoft.com/office/drawing/2014/main" id="{EBA760B5-FC23-499F-B32D-147B18A1ADDA}"/>
            </a:ext>
          </a:extLst>
        </xdr:cNvPr>
        <xdr:cNvSpPr txBox="1"/>
      </xdr:nvSpPr>
      <xdr:spPr>
        <a:xfrm>
          <a:off x="8435340" y="1752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4" name="ZoneTexte 63">
          <a:extLst>
            <a:ext uri="{FF2B5EF4-FFF2-40B4-BE49-F238E27FC236}">
              <a16:creationId xmlns:a16="http://schemas.microsoft.com/office/drawing/2014/main" id="{21FE2489-9785-4343-AB5D-9B48EF0A34EF}"/>
            </a:ext>
          </a:extLst>
        </xdr:cNvPr>
        <xdr:cNvSpPr txBox="1"/>
      </xdr:nvSpPr>
      <xdr:spPr>
        <a:xfrm>
          <a:off x="8435340" y="1752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5" name="ZoneTexte 64">
          <a:extLst>
            <a:ext uri="{FF2B5EF4-FFF2-40B4-BE49-F238E27FC236}">
              <a16:creationId xmlns:a16="http://schemas.microsoft.com/office/drawing/2014/main" id="{B9B17CAA-91AC-4CF6-9AA2-ED0C95D6C3F4}"/>
            </a:ext>
          </a:extLst>
        </xdr:cNvPr>
        <xdr:cNvSpPr txBox="1"/>
      </xdr:nvSpPr>
      <xdr:spPr>
        <a:xfrm>
          <a:off x="8435340" y="1752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6" name="ZoneTexte 65">
          <a:extLst>
            <a:ext uri="{FF2B5EF4-FFF2-40B4-BE49-F238E27FC236}">
              <a16:creationId xmlns:a16="http://schemas.microsoft.com/office/drawing/2014/main" id="{D0B2DE0F-B89E-44A7-AFC3-B09D6924B66C}"/>
            </a:ext>
          </a:extLst>
        </xdr:cNvPr>
        <xdr:cNvSpPr txBox="1"/>
      </xdr:nvSpPr>
      <xdr:spPr>
        <a:xfrm>
          <a:off x="8435340" y="1752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7" name="ZoneTexte 66">
          <a:extLst>
            <a:ext uri="{FF2B5EF4-FFF2-40B4-BE49-F238E27FC236}">
              <a16:creationId xmlns:a16="http://schemas.microsoft.com/office/drawing/2014/main" id="{CAA45AD8-B7B3-4797-8CE3-DAEE6A7C1BD9}"/>
            </a:ext>
          </a:extLst>
        </xdr:cNvPr>
        <xdr:cNvSpPr txBox="1"/>
      </xdr:nvSpPr>
      <xdr:spPr>
        <a:xfrm>
          <a:off x="8435340" y="1752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8" name="ZoneTexte 67">
          <a:extLst>
            <a:ext uri="{FF2B5EF4-FFF2-40B4-BE49-F238E27FC236}">
              <a16:creationId xmlns:a16="http://schemas.microsoft.com/office/drawing/2014/main" id="{C66F4C41-227D-44E3-AEDD-181D65058DE9}"/>
            </a:ext>
          </a:extLst>
        </xdr:cNvPr>
        <xdr:cNvSpPr txBox="1"/>
      </xdr:nvSpPr>
      <xdr:spPr>
        <a:xfrm>
          <a:off x="8435340" y="1752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I" sz="1100"/>
        </a:p>
      </xdr:txBody>
    </xdr:sp>
    <xdr:clientData/>
  </xdr:oneCellAnchor>
  <xdr:oneCellAnchor>
    <xdr:from>
      <xdr:col>0</xdr:col>
      <xdr:colOff>197718</xdr:colOff>
      <xdr:row>0</xdr:row>
      <xdr:rowOff>53340</xdr:rowOff>
    </xdr:from>
    <xdr:ext cx="2077830" cy="471237"/>
    <xdr:pic>
      <xdr:nvPicPr>
        <xdr:cNvPr id="70" name="Image 69">
          <a:extLst>
            <a:ext uri="{FF2B5EF4-FFF2-40B4-BE49-F238E27FC236}">
              <a16:creationId xmlns:a16="http://schemas.microsoft.com/office/drawing/2014/main" id="{13C11302-8FD8-4643-A77F-4AA687CC7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97718" y="53340"/>
          <a:ext cx="2077830" cy="471237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EB1684-888C-44F9-9CE2-D7A75AE031F0}" name="Form_Responses267346534672332" displayName="Form_Responses267346534672332" ref="A4:I40" totalsRowShown="0" headerRowDxfId="19" dataDxfId="18" totalsRowDxfId="17">
  <autoFilter ref="A4:I40" xr:uid="{C3E6E22E-39CE-45C6-8A75-C8C4D27DC945}"/>
  <sortState xmlns:xlrd2="http://schemas.microsoft.com/office/spreadsheetml/2017/richdata2" ref="A5:H40">
    <sortCondition ref="B5:B40"/>
    <sortCondition ref="C5:C40"/>
    <sortCondition ref="D5:D40"/>
    <sortCondition ref="E5:E40"/>
  </sortState>
  <tableColumns count="9">
    <tableColumn id="2" xr3:uid="{2DACEF1D-57D1-4775-8AF7-95B4AFD32926}" name="N°" dataDxfId="16" totalsRowDxfId="15">
      <calculatedColumnFormula>SUBTOTAL(3,$B$5:B5)</calculatedColumnFormula>
    </tableColumn>
    <tableColumn id="23" xr3:uid="{869B8112-6740-4729-B377-B6F17038EB8A}" name="Periode" dataDxfId="14" totalsRowDxfId="13"/>
    <tableColumn id="21" xr3:uid="{A1E455C0-C43A-4BBA-9A2F-9343EB88B9CB}" name="Date" dataDxfId="12" totalsRowDxfId="11"/>
    <tableColumn id="5" xr3:uid="{7D5E8D27-8C0F-40E0-A877-A02ED728D2F1}" name="Capital début" dataDxfId="10" totalsRowDxfId="9"/>
    <tableColumn id="1" xr3:uid="{C5706755-25C8-4FFD-B5A4-962E9A72556E}" name="Intérêt" dataDxfId="8" totalsRowDxfId="7"/>
    <tableColumn id="70" xr3:uid="{60E1C394-F8D0-4B03-892A-92A5D0D3B480}" name="Amortissement" dataDxfId="6" totalsRowDxfId="5"/>
    <tableColumn id="38" xr3:uid="{FBD6F70A-6222-4FC5-AA18-44B19F8C42F3}" name="Mensualité" dataDxfId="4" totalsRowDxfId="3"/>
    <tableColumn id="6" xr3:uid="{9C126E75-05CA-4B47-BEDA-4326EEBD3509}" name="Capital restant dû" dataDxfId="0" totalsRowDxfId="2"/>
    <tableColumn id="3" xr3:uid="{75200766-2FBA-42B0-8993-4C9604C972B0}" name="Statut paiment" dataDxfId="1"/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5F18F-F1FC-467C-94C1-B10275C6F024}">
  <sheetPr>
    <outlinePr summaryBelow="0" summaryRight="0"/>
  </sheetPr>
  <dimension ref="A1:I48"/>
  <sheetViews>
    <sheetView showGridLines="0" tabSelected="1" zoomScaleNormal="100" workbookViewId="0">
      <selection activeCell="D2" sqref="D2:G2"/>
    </sheetView>
  </sheetViews>
  <sheetFormatPr baseColWidth="10" defaultColWidth="13.6640625" defaultRowHeight="28.2" customHeight="1" x14ac:dyDescent="0.3"/>
  <cols>
    <col min="1" max="1" width="7.33203125" style="1" bestFit="1" customWidth="1"/>
    <col min="2" max="2" width="15.5546875" style="1" customWidth="1"/>
    <col min="3" max="3" width="14" style="1" customWidth="1"/>
    <col min="4" max="4" width="20.109375" style="1" customWidth="1"/>
    <col min="5" max="5" width="14.88671875" style="1" customWidth="1"/>
    <col min="6" max="6" width="20" style="1" bestFit="1" customWidth="1"/>
    <col min="7" max="7" width="20.33203125" style="1" customWidth="1"/>
    <col min="8" max="8" width="22.109375" style="1" bestFit="1" customWidth="1"/>
    <col min="9" max="9" width="20.77734375" style="1" customWidth="1"/>
    <col min="10" max="16384" width="13.6640625" style="1"/>
  </cols>
  <sheetData>
    <row r="1" spans="1:9" ht="9.9" customHeight="1" x14ac:dyDescent="0.3">
      <c r="A1" s="5"/>
      <c r="B1" s="5"/>
      <c r="C1" s="11"/>
      <c r="D1" s="5"/>
      <c r="E1" s="13"/>
      <c r="F1" s="13"/>
      <c r="G1" s="5"/>
      <c r="H1" s="5"/>
    </row>
    <row r="2" spans="1:9" ht="25.2" customHeight="1" x14ac:dyDescent="0.3">
      <c r="A2" s="5"/>
      <c r="B2" s="5"/>
      <c r="C2" s="12"/>
      <c r="D2" s="15" t="s">
        <v>8</v>
      </c>
      <c r="E2" s="15"/>
      <c r="F2" s="15"/>
      <c r="G2" s="15"/>
      <c r="H2"/>
    </row>
    <row r="3" spans="1:9" ht="9.6" customHeight="1" x14ac:dyDescent="0.3">
      <c r="A3" s="5"/>
      <c r="B3" s="5"/>
      <c r="D3" s="6"/>
      <c r="E3" s="14"/>
      <c r="F3" s="14"/>
      <c r="G3" s="6"/>
      <c r="H3" s="5"/>
    </row>
    <row r="4" spans="1:9" ht="15.6" x14ac:dyDescent="0.3">
      <c r="A4" s="4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16" t="s">
        <v>9</v>
      </c>
    </row>
    <row r="5" spans="1:9" ht="15.6" x14ac:dyDescent="0.3">
      <c r="A5" s="3">
        <f>SUBTOTAL(3,$B$5:B5)</f>
        <v>1</v>
      </c>
      <c r="B5" s="8">
        <v>1</v>
      </c>
      <c r="C5" s="9">
        <v>46276</v>
      </c>
      <c r="D5" s="10">
        <v>5000000</v>
      </c>
      <c r="E5" s="10">
        <v>33333</v>
      </c>
      <c r="F5" s="8">
        <v>0</v>
      </c>
      <c r="G5" s="10">
        <v>33333</v>
      </c>
      <c r="H5" s="10">
        <v>5000000</v>
      </c>
      <c r="I5" s="17" t="s">
        <v>10</v>
      </c>
    </row>
    <row r="6" spans="1:9" ht="15.6" x14ac:dyDescent="0.3">
      <c r="A6" s="3">
        <f>SUBTOTAL(3,$B$5:B6)</f>
        <v>2</v>
      </c>
      <c r="B6" s="8">
        <v>2</v>
      </c>
      <c r="C6" s="9">
        <v>46306</v>
      </c>
      <c r="D6" s="10">
        <v>5000000</v>
      </c>
      <c r="E6" s="10">
        <v>33333</v>
      </c>
      <c r="F6" s="8">
        <v>0</v>
      </c>
      <c r="G6" s="10">
        <v>33333</v>
      </c>
      <c r="H6" s="10">
        <v>5000000</v>
      </c>
      <c r="I6" s="17" t="s">
        <v>10</v>
      </c>
    </row>
    <row r="7" spans="1:9" ht="15.6" x14ac:dyDescent="0.3">
      <c r="A7" s="3">
        <f>SUBTOTAL(3,$B$5:B7)</f>
        <v>3</v>
      </c>
      <c r="B7" s="8">
        <v>3</v>
      </c>
      <c r="C7" s="9">
        <v>46337</v>
      </c>
      <c r="D7" s="10">
        <v>5000000</v>
      </c>
      <c r="E7" s="10">
        <v>33333</v>
      </c>
      <c r="F7" s="8">
        <v>0</v>
      </c>
      <c r="G7" s="10">
        <v>33333</v>
      </c>
      <c r="H7" s="10">
        <v>5000000</v>
      </c>
      <c r="I7" s="17" t="s">
        <v>10</v>
      </c>
    </row>
    <row r="8" spans="1:9" ht="15.6" x14ac:dyDescent="0.3">
      <c r="A8" s="3">
        <f>SUBTOTAL(3,$B$5:B8)</f>
        <v>4</v>
      </c>
      <c r="B8" s="8">
        <v>4</v>
      </c>
      <c r="C8" s="9">
        <v>46367</v>
      </c>
      <c r="D8" s="10">
        <v>5000000</v>
      </c>
      <c r="E8" s="10">
        <v>33333</v>
      </c>
      <c r="F8" s="8">
        <v>0</v>
      </c>
      <c r="G8" s="10">
        <v>33333</v>
      </c>
      <c r="H8" s="10">
        <v>5000000</v>
      </c>
      <c r="I8" s="17" t="s">
        <v>10</v>
      </c>
    </row>
    <row r="9" spans="1:9" ht="15.6" x14ac:dyDescent="0.3">
      <c r="A9" s="3">
        <f>SUBTOTAL(3,$B$5:B9)</f>
        <v>5</v>
      </c>
      <c r="B9" s="8">
        <v>5</v>
      </c>
      <c r="C9" s="9">
        <v>46398</v>
      </c>
      <c r="D9" s="10">
        <v>5000000</v>
      </c>
      <c r="E9" s="10">
        <v>33333</v>
      </c>
      <c r="F9" s="10">
        <v>140694</v>
      </c>
      <c r="G9" s="10">
        <v>174027</v>
      </c>
      <c r="H9" s="10">
        <v>4859306</v>
      </c>
      <c r="I9" s="17" t="s">
        <v>10</v>
      </c>
    </row>
    <row r="10" spans="1:9" ht="15.6" x14ac:dyDescent="0.3">
      <c r="A10" s="3">
        <f>SUBTOTAL(3,$B$5:B10)</f>
        <v>6</v>
      </c>
      <c r="B10" s="8">
        <v>6</v>
      </c>
      <c r="C10" s="9">
        <v>46429</v>
      </c>
      <c r="D10" s="10">
        <v>4859306</v>
      </c>
      <c r="E10" s="10">
        <v>32395</v>
      </c>
      <c r="F10" s="10">
        <v>141632</v>
      </c>
      <c r="G10" s="10">
        <v>174027</v>
      </c>
      <c r="H10" s="10">
        <v>4717674</v>
      </c>
      <c r="I10" s="17" t="s">
        <v>10</v>
      </c>
    </row>
    <row r="11" spans="1:9" ht="15.6" x14ac:dyDescent="0.3">
      <c r="A11" s="3">
        <f>SUBTOTAL(3,$B$5:B11)</f>
        <v>7</v>
      </c>
      <c r="B11" s="8">
        <v>7</v>
      </c>
      <c r="C11" s="9">
        <v>46457</v>
      </c>
      <c r="D11" s="10">
        <v>4717674</v>
      </c>
      <c r="E11" s="10">
        <v>31451</v>
      </c>
      <c r="F11" s="10">
        <v>142576</v>
      </c>
      <c r="G11" s="10">
        <v>174027</v>
      </c>
      <c r="H11" s="10">
        <v>4575099</v>
      </c>
      <c r="I11" s="17" t="s">
        <v>10</v>
      </c>
    </row>
    <row r="12" spans="1:9" ht="15.6" x14ac:dyDescent="0.3">
      <c r="A12" s="3">
        <f>SUBTOTAL(3,$B$5:B12)</f>
        <v>8</v>
      </c>
      <c r="B12" s="8">
        <v>8</v>
      </c>
      <c r="C12" s="9">
        <v>46488</v>
      </c>
      <c r="D12" s="10">
        <v>4575099</v>
      </c>
      <c r="E12" s="10">
        <v>30501</v>
      </c>
      <c r="F12" s="10">
        <v>143526</v>
      </c>
      <c r="G12" s="10">
        <v>174027</v>
      </c>
      <c r="H12" s="10">
        <v>4431572</v>
      </c>
      <c r="I12" s="17" t="s">
        <v>10</v>
      </c>
    </row>
    <row r="13" spans="1:9" ht="15.6" x14ac:dyDescent="0.3">
      <c r="A13" s="3">
        <f>SUBTOTAL(3,$B$5:B13)</f>
        <v>9</v>
      </c>
      <c r="B13" s="8">
        <v>9</v>
      </c>
      <c r="C13" s="9">
        <v>46518</v>
      </c>
      <c r="D13" s="10">
        <v>4431572</v>
      </c>
      <c r="E13" s="10">
        <v>29544</v>
      </c>
      <c r="F13" s="10">
        <v>144483</v>
      </c>
      <c r="G13" s="10">
        <v>174027</v>
      </c>
      <c r="H13" s="10">
        <v>4287089</v>
      </c>
      <c r="I13" s="17" t="s">
        <v>10</v>
      </c>
    </row>
    <row r="14" spans="1:9" ht="15.6" x14ac:dyDescent="0.3">
      <c r="A14" s="3">
        <f>SUBTOTAL(3,$B$5:B14)</f>
        <v>10</v>
      </c>
      <c r="B14" s="8">
        <v>10</v>
      </c>
      <c r="C14" s="9">
        <v>46549</v>
      </c>
      <c r="D14" s="10">
        <v>4287089</v>
      </c>
      <c r="E14" s="10">
        <v>28581</v>
      </c>
      <c r="F14" s="10">
        <v>145447</v>
      </c>
      <c r="G14" s="10">
        <v>174027</v>
      </c>
      <c r="H14" s="10">
        <v>4141642</v>
      </c>
      <c r="I14" s="17" t="s">
        <v>10</v>
      </c>
    </row>
    <row r="15" spans="1:9" ht="15.6" x14ac:dyDescent="0.3">
      <c r="A15" s="3">
        <f>SUBTOTAL(3,$B$5:B15)</f>
        <v>11</v>
      </c>
      <c r="B15" s="8">
        <v>11</v>
      </c>
      <c r="C15" s="9">
        <v>46579</v>
      </c>
      <c r="D15" s="10">
        <v>4141642</v>
      </c>
      <c r="E15" s="10">
        <v>27611</v>
      </c>
      <c r="F15" s="10">
        <v>146416</v>
      </c>
      <c r="G15" s="10">
        <v>174027</v>
      </c>
      <c r="H15" s="10">
        <v>3995226</v>
      </c>
      <c r="I15" s="17" t="s">
        <v>10</v>
      </c>
    </row>
    <row r="16" spans="1:9" ht="14.25" customHeight="1" x14ac:dyDescent="0.3">
      <c r="A16" s="3">
        <f>SUBTOTAL(3,$B$5:B16)</f>
        <v>12</v>
      </c>
      <c r="B16" s="8">
        <v>12</v>
      </c>
      <c r="C16" s="9">
        <v>46610</v>
      </c>
      <c r="D16" s="10">
        <v>3995226</v>
      </c>
      <c r="E16" s="10">
        <v>26635</v>
      </c>
      <c r="F16" s="10">
        <v>147392</v>
      </c>
      <c r="G16" s="10">
        <v>174027</v>
      </c>
      <c r="H16" s="10">
        <v>3847834</v>
      </c>
      <c r="I16" s="17" t="s">
        <v>10</v>
      </c>
    </row>
    <row r="17" spans="1:9" ht="15.6" x14ac:dyDescent="0.3">
      <c r="A17" s="3">
        <f>SUBTOTAL(3,$B$5:B17)</f>
        <v>13</v>
      </c>
      <c r="B17" s="8">
        <v>13</v>
      </c>
      <c r="C17" s="9">
        <v>46641</v>
      </c>
      <c r="D17" s="10">
        <v>3847834</v>
      </c>
      <c r="E17" s="10">
        <v>25652</v>
      </c>
      <c r="F17" s="10">
        <v>148375</v>
      </c>
      <c r="G17" s="10">
        <v>174027</v>
      </c>
      <c r="H17" s="10">
        <v>3699459</v>
      </c>
      <c r="I17" s="17" t="s">
        <v>10</v>
      </c>
    </row>
    <row r="18" spans="1:9" ht="15.6" x14ac:dyDescent="0.3">
      <c r="A18" s="3">
        <f>SUBTOTAL(3,$B$5:B18)</f>
        <v>14</v>
      </c>
      <c r="B18" s="8">
        <v>14</v>
      </c>
      <c r="C18" s="9">
        <v>46671</v>
      </c>
      <c r="D18" s="10">
        <v>3699459</v>
      </c>
      <c r="E18" s="10">
        <v>24663</v>
      </c>
      <c r="F18" s="10">
        <v>149364</v>
      </c>
      <c r="G18" s="10">
        <v>174027</v>
      </c>
      <c r="H18" s="10">
        <v>3550095</v>
      </c>
      <c r="I18" s="17" t="s">
        <v>10</v>
      </c>
    </row>
    <row r="19" spans="1:9" ht="15.6" x14ac:dyDescent="0.3">
      <c r="A19" s="3">
        <f>SUBTOTAL(3,$B$5:B19)</f>
        <v>15</v>
      </c>
      <c r="B19" s="8">
        <v>15</v>
      </c>
      <c r="C19" s="9">
        <v>46702</v>
      </c>
      <c r="D19" s="10">
        <v>3550095</v>
      </c>
      <c r="E19" s="10">
        <v>23667</v>
      </c>
      <c r="F19" s="10">
        <v>150360</v>
      </c>
      <c r="G19" s="10">
        <v>174027</v>
      </c>
      <c r="H19" s="10">
        <v>3399735</v>
      </c>
      <c r="I19" s="17" t="s">
        <v>10</v>
      </c>
    </row>
    <row r="20" spans="1:9" ht="15.6" x14ac:dyDescent="0.3">
      <c r="A20" s="3">
        <f>SUBTOTAL(3,$B$5:B20)</f>
        <v>16</v>
      </c>
      <c r="B20" s="8">
        <v>16</v>
      </c>
      <c r="C20" s="9">
        <v>46732</v>
      </c>
      <c r="D20" s="10">
        <v>3399735</v>
      </c>
      <c r="E20" s="10">
        <v>22665</v>
      </c>
      <c r="F20" s="10">
        <v>151362</v>
      </c>
      <c r="G20" s="10">
        <v>174027</v>
      </c>
      <c r="H20" s="10">
        <v>3248373</v>
      </c>
      <c r="I20" s="17" t="s">
        <v>10</v>
      </c>
    </row>
    <row r="21" spans="1:9" ht="15.6" x14ac:dyDescent="0.3">
      <c r="A21" s="3">
        <f>SUBTOTAL(3,$B$5:B21)</f>
        <v>17</v>
      </c>
      <c r="B21" s="8">
        <v>17</v>
      </c>
      <c r="C21" s="9">
        <v>46763</v>
      </c>
      <c r="D21" s="10">
        <v>3248373</v>
      </c>
      <c r="E21" s="10">
        <v>21656</v>
      </c>
      <c r="F21" s="10">
        <v>152371</v>
      </c>
      <c r="G21" s="10">
        <v>174027</v>
      </c>
      <c r="H21" s="10">
        <v>3096002</v>
      </c>
      <c r="I21" s="17" t="s">
        <v>10</v>
      </c>
    </row>
    <row r="22" spans="1:9" ht="14.25" customHeight="1" x14ac:dyDescent="0.3">
      <c r="A22" s="3">
        <f>SUBTOTAL(3,$B$5:B22)</f>
        <v>18</v>
      </c>
      <c r="B22" s="8">
        <v>18</v>
      </c>
      <c r="C22" s="9">
        <v>46794</v>
      </c>
      <c r="D22" s="10">
        <v>3096002</v>
      </c>
      <c r="E22" s="10">
        <v>20640</v>
      </c>
      <c r="F22" s="10">
        <v>153387</v>
      </c>
      <c r="G22" s="10">
        <v>174027</v>
      </c>
      <c r="H22" s="10">
        <v>2942615</v>
      </c>
      <c r="I22" s="17" t="s">
        <v>10</v>
      </c>
    </row>
    <row r="23" spans="1:9" ht="15.6" x14ac:dyDescent="0.3">
      <c r="A23" s="3">
        <f>SUBTOTAL(3,$B$5:B23)</f>
        <v>19</v>
      </c>
      <c r="B23" s="8">
        <v>19</v>
      </c>
      <c r="C23" s="9">
        <v>46823</v>
      </c>
      <c r="D23" s="10">
        <v>2942615</v>
      </c>
      <c r="E23" s="10">
        <v>19617</v>
      </c>
      <c r="F23" s="10">
        <v>154410</v>
      </c>
      <c r="G23" s="10">
        <v>174027</v>
      </c>
      <c r="H23" s="10">
        <v>2788205</v>
      </c>
      <c r="I23" s="17" t="s">
        <v>10</v>
      </c>
    </row>
    <row r="24" spans="1:9" ht="15.6" x14ac:dyDescent="0.3">
      <c r="A24" s="3">
        <f>SUBTOTAL(3,$B$5:B24)</f>
        <v>20</v>
      </c>
      <c r="B24" s="8">
        <v>20</v>
      </c>
      <c r="C24" s="9">
        <v>46854</v>
      </c>
      <c r="D24" s="10">
        <v>2788205</v>
      </c>
      <c r="E24" s="10">
        <v>18588</v>
      </c>
      <c r="F24" s="10">
        <v>155439</v>
      </c>
      <c r="G24" s="10">
        <v>174027</v>
      </c>
      <c r="H24" s="10">
        <v>2632766</v>
      </c>
      <c r="I24" s="17" t="s">
        <v>10</v>
      </c>
    </row>
    <row r="25" spans="1:9" ht="15.6" x14ac:dyDescent="0.3">
      <c r="A25" s="3">
        <f>SUBTOTAL(3,$B$5:B25)</f>
        <v>21</v>
      </c>
      <c r="B25" s="8">
        <v>21</v>
      </c>
      <c r="C25" s="9">
        <v>46884</v>
      </c>
      <c r="D25" s="10">
        <v>2632766</v>
      </c>
      <c r="E25" s="10">
        <v>17552</v>
      </c>
      <c r="F25" s="10">
        <v>156475</v>
      </c>
      <c r="G25" s="10">
        <v>174027</v>
      </c>
      <c r="H25" s="10">
        <v>2476290</v>
      </c>
      <c r="I25" s="17" t="s">
        <v>10</v>
      </c>
    </row>
    <row r="26" spans="1:9" ht="15.6" x14ac:dyDescent="0.3">
      <c r="A26" s="3">
        <f>SUBTOTAL(3,$B$5:B26)</f>
        <v>22</v>
      </c>
      <c r="B26" s="8">
        <v>22</v>
      </c>
      <c r="C26" s="9">
        <v>46915</v>
      </c>
      <c r="D26" s="10">
        <v>2476290</v>
      </c>
      <c r="E26" s="10">
        <v>16509</v>
      </c>
      <c r="F26" s="10">
        <v>157519</v>
      </c>
      <c r="G26" s="10">
        <v>174027</v>
      </c>
      <c r="H26" s="10">
        <v>2318772</v>
      </c>
      <c r="I26" s="17" t="s">
        <v>10</v>
      </c>
    </row>
    <row r="27" spans="1:9" ht="15.6" x14ac:dyDescent="0.3">
      <c r="A27" s="3">
        <f>SUBTOTAL(3,$B$5:B27)</f>
        <v>23</v>
      </c>
      <c r="B27" s="8">
        <v>23</v>
      </c>
      <c r="C27" s="9">
        <v>46945</v>
      </c>
      <c r="D27" s="10">
        <v>2318772</v>
      </c>
      <c r="E27" s="10">
        <v>15458</v>
      </c>
      <c r="F27" s="10">
        <v>158569</v>
      </c>
      <c r="G27" s="10">
        <v>174027</v>
      </c>
      <c r="H27" s="10">
        <v>2160203</v>
      </c>
      <c r="I27" s="17" t="s">
        <v>10</v>
      </c>
    </row>
    <row r="28" spans="1:9" ht="15.6" x14ac:dyDescent="0.3">
      <c r="A28" s="3">
        <f>SUBTOTAL(3,$B$5:B28)</f>
        <v>24</v>
      </c>
      <c r="B28" s="8">
        <v>24</v>
      </c>
      <c r="C28" s="9">
        <v>46976</v>
      </c>
      <c r="D28" s="10">
        <v>2160203</v>
      </c>
      <c r="E28" s="10">
        <v>14401</v>
      </c>
      <c r="F28" s="10">
        <v>159626</v>
      </c>
      <c r="G28" s="10">
        <v>174027</v>
      </c>
      <c r="H28" s="10">
        <v>2000578</v>
      </c>
      <c r="I28" s="17" t="s">
        <v>10</v>
      </c>
    </row>
    <row r="29" spans="1:9" ht="15.6" x14ac:dyDescent="0.3">
      <c r="A29" s="3">
        <f>SUBTOTAL(3,$B$5:B29)</f>
        <v>25</v>
      </c>
      <c r="B29" s="8">
        <v>25</v>
      </c>
      <c r="C29" s="9">
        <v>47007</v>
      </c>
      <c r="D29" s="10">
        <v>2000578</v>
      </c>
      <c r="E29" s="10">
        <v>13337</v>
      </c>
      <c r="F29" s="10">
        <v>160690</v>
      </c>
      <c r="G29" s="10">
        <v>174027</v>
      </c>
      <c r="H29" s="10">
        <v>1839888</v>
      </c>
      <c r="I29" s="17" t="s">
        <v>10</v>
      </c>
    </row>
    <row r="30" spans="1:9" ht="15.6" x14ac:dyDescent="0.3">
      <c r="A30" s="3">
        <f>SUBTOTAL(3,$B$5:B30)</f>
        <v>26</v>
      </c>
      <c r="B30" s="8">
        <v>26</v>
      </c>
      <c r="C30" s="9">
        <v>47037</v>
      </c>
      <c r="D30" s="10">
        <v>1839888</v>
      </c>
      <c r="E30" s="10">
        <v>12266</v>
      </c>
      <c r="F30" s="10">
        <v>161761</v>
      </c>
      <c r="G30" s="10">
        <v>174027</v>
      </c>
      <c r="H30" s="10">
        <v>1678127</v>
      </c>
      <c r="I30" s="17" t="s">
        <v>10</v>
      </c>
    </row>
    <row r="31" spans="1:9" ht="15.6" x14ac:dyDescent="0.3">
      <c r="A31" s="3">
        <f>SUBTOTAL(3,$B$5:B31)</f>
        <v>27</v>
      </c>
      <c r="B31" s="8">
        <v>27</v>
      </c>
      <c r="C31" s="9">
        <v>47068</v>
      </c>
      <c r="D31" s="10">
        <v>1678127</v>
      </c>
      <c r="E31" s="10">
        <v>11188</v>
      </c>
      <c r="F31" s="10">
        <v>162840</v>
      </c>
      <c r="G31" s="10">
        <v>174027</v>
      </c>
      <c r="H31" s="10">
        <v>1515287</v>
      </c>
      <c r="I31" s="17" t="s">
        <v>10</v>
      </c>
    </row>
    <row r="32" spans="1:9" ht="15.6" x14ac:dyDescent="0.3">
      <c r="A32" s="3">
        <f>SUBTOTAL(3,$B$5:B32)</f>
        <v>28</v>
      </c>
      <c r="B32" s="8">
        <v>28</v>
      </c>
      <c r="C32" s="9">
        <v>47098</v>
      </c>
      <c r="D32" s="10">
        <v>1515287</v>
      </c>
      <c r="E32" s="10">
        <v>10102</v>
      </c>
      <c r="F32" s="10">
        <v>163925</v>
      </c>
      <c r="G32" s="10">
        <v>174027</v>
      </c>
      <c r="H32" s="10">
        <v>1351362</v>
      </c>
      <c r="I32" s="17" t="s">
        <v>10</v>
      </c>
    </row>
    <row r="33" spans="1:9" ht="15.6" x14ac:dyDescent="0.3">
      <c r="A33" s="3">
        <f>SUBTOTAL(3,$B$5:B33)</f>
        <v>29</v>
      </c>
      <c r="B33" s="8">
        <v>29</v>
      </c>
      <c r="C33" s="9">
        <v>47129</v>
      </c>
      <c r="D33" s="10">
        <v>1351362</v>
      </c>
      <c r="E33" s="10">
        <v>9009</v>
      </c>
      <c r="F33" s="10">
        <v>165018</v>
      </c>
      <c r="G33" s="10">
        <v>174027</v>
      </c>
      <c r="H33" s="10">
        <v>1186344</v>
      </c>
      <c r="I33" s="17" t="s">
        <v>10</v>
      </c>
    </row>
    <row r="34" spans="1:9" ht="15.6" x14ac:dyDescent="0.3">
      <c r="A34" s="3">
        <f>SUBTOTAL(3,$B$5:B34)</f>
        <v>30</v>
      </c>
      <c r="B34" s="8">
        <v>30</v>
      </c>
      <c r="C34" s="9">
        <v>47160</v>
      </c>
      <c r="D34" s="10">
        <v>1186344</v>
      </c>
      <c r="E34" s="10">
        <v>7909</v>
      </c>
      <c r="F34" s="10">
        <v>166118</v>
      </c>
      <c r="G34" s="10">
        <v>174027</v>
      </c>
      <c r="H34" s="10">
        <v>1020226</v>
      </c>
      <c r="I34" s="17" t="s">
        <v>10</v>
      </c>
    </row>
    <row r="35" spans="1:9" ht="15.6" x14ac:dyDescent="0.3">
      <c r="A35" s="3">
        <f>SUBTOTAL(3,$B$5:B35)</f>
        <v>31</v>
      </c>
      <c r="B35" s="8">
        <v>31</v>
      </c>
      <c r="C35" s="9">
        <v>47188</v>
      </c>
      <c r="D35" s="10">
        <v>1020226</v>
      </c>
      <c r="E35" s="10">
        <v>6802</v>
      </c>
      <c r="F35" s="10">
        <v>167226</v>
      </c>
      <c r="G35" s="10">
        <v>174027</v>
      </c>
      <c r="H35" s="10">
        <v>853000</v>
      </c>
      <c r="I35" s="17" t="s">
        <v>10</v>
      </c>
    </row>
    <row r="36" spans="1:9" ht="15.6" x14ac:dyDescent="0.3">
      <c r="A36" s="3">
        <f>SUBTOTAL(3,$B$5:B36)</f>
        <v>32</v>
      </c>
      <c r="B36" s="8">
        <v>32</v>
      </c>
      <c r="C36" s="9">
        <v>47219</v>
      </c>
      <c r="D36" s="10">
        <v>853000</v>
      </c>
      <c r="E36" s="10">
        <v>5687</v>
      </c>
      <c r="F36" s="10">
        <v>168340</v>
      </c>
      <c r="G36" s="10">
        <v>174027</v>
      </c>
      <c r="H36" s="10">
        <v>684660</v>
      </c>
      <c r="I36" s="17" t="s">
        <v>10</v>
      </c>
    </row>
    <row r="37" spans="1:9" ht="15.6" x14ac:dyDescent="0.3">
      <c r="A37" s="3">
        <f>SUBTOTAL(3,$B$5:B37)</f>
        <v>33</v>
      </c>
      <c r="B37" s="8">
        <v>33</v>
      </c>
      <c r="C37" s="9">
        <v>47249</v>
      </c>
      <c r="D37" s="10">
        <v>684660</v>
      </c>
      <c r="E37" s="10">
        <v>4564</v>
      </c>
      <c r="F37" s="10">
        <v>169463</v>
      </c>
      <c r="G37" s="10">
        <v>174027</v>
      </c>
      <c r="H37" s="10">
        <v>515197</v>
      </c>
      <c r="I37" s="17" t="s">
        <v>10</v>
      </c>
    </row>
    <row r="38" spans="1:9" ht="15.6" x14ac:dyDescent="0.3">
      <c r="A38" s="3">
        <f>SUBTOTAL(3,$B$5:B38)</f>
        <v>34</v>
      </c>
      <c r="B38" s="8">
        <v>34</v>
      </c>
      <c r="C38" s="9">
        <v>47280</v>
      </c>
      <c r="D38" s="10">
        <v>515197</v>
      </c>
      <c r="E38" s="10">
        <v>3435</v>
      </c>
      <c r="F38" s="10">
        <v>170592</v>
      </c>
      <c r="G38" s="10">
        <v>174027</v>
      </c>
      <c r="H38" s="10">
        <v>344604</v>
      </c>
      <c r="I38" s="17" t="s">
        <v>10</v>
      </c>
    </row>
    <row r="39" spans="1:9" ht="15.6" x14ac:dyDescent="0.3">
      <c r="A39" s="3">
        <f>SUBTOTAL(3,$B$5:B39)</f>
        <v>35</v>
      </c>
      <c r="B39" s="8">
        <v>35</v>
      </c>
      <c r="C39" s="9">
        <v>47310</v>
      </c>
      <c r="D39" s="10">
        <v>344604</v>
      </c>
      <c r="E39" s="10">
        <v>2297</v>
      </c>
      <c r="F39" s="10">
        <v>171730</v>
      </c>
      <c r="G39" s="10">
        <v>174027</v>
      </c>
      <c r="H39" s="10">
        <v>172875</v>
      </c>
      <c r="I39" s="17" t="s">
        <v>10</v>
      </c>
    </row>
    <row r="40" spans="1:9" ht="15.6" x14ac:dyDescent="0.3">
      <c r="A40" s="3">
        <f>SUBTOTAL(3,$B$5:B40)</f>
        <v>36</v>
      </c>
      <c r="B40" s="8">
        <v>36</v>
      </c>
      <c r="C40" s="9">
        <v>47341</v>
      </c>
      <c r="D40" s="10">
        <v>172875</v>
      </c>
      <c r="E40" s="10">
        <v>1152</v>
      </c>
      <c r="F40" s="10">
        <v>172875</v>
      </c>
      <c r="G40" s="10">
        <v>174027</v>
      </c>
      <c r="H40" s="8">
        <v>0</v>
      </c>
      <c r="I40" s="17" t="s">
        <v>10</v>
      </c>
    </row>
    <row r="41" spans="1:9" ht="28.2" customHeight="1" x14ac:dyDescent="0.3">
      <c r="A41" s="2"/>
      <c r="B41" s="2"/>
      <c r="C41" s="2"/>
      <c r="D41" s="2"/>
      <c r="E41" s="2"/>
      <c r="F41" s="2"/>
      <c r="G41" s="2"/>
      <c r="H41" s="2"/>
    </row>
    <row r="42" spans="1:9" ht="28.2" customHeight="1" x14ac:dyDescent="0.3">
      <c r="A42" s="2"/>
      <c r="B42" s="2"/>
      <c r="C42" s="2"/>
      <c r="D42" s="2"/>
      <c r="E42" s="2"/>
      <c r="F42" s="2"/>
      <c r="G42" s="2"/>
      <c r="H42" s="2"/>
    </row>
    <row r="43" spans="1:9" ht="28.2" customHeight="1" x14ac:dyDescent="0.3">
      <c r="A43" s="2"/>
      <c r="B43" s="2"/>
      <c r="C43" s="2"/>
      <c r="D43" s="2"/>
      <c r="E43" s="2"/>
      <c r="F43" s="2"/>
      <c r="G43" s="2"/>
      <c r="H43" s="2"/>
    </row>
    <row r="44" spans="1:9" ht="28.2" customHeight="1" x14ac:dyDescent="0.3">
      <c r="A44" s="2"/>
      <c r="B44" s="2"/>
      <c r="C44" s="2"/>
      <c r="D44" s="2"/>
      <c r="E44" s="2"/>
      <c r="F44" s="2"/>
      <c r="G44" s="2"/>
      <c r="H44" s="2"/>
    </row>
    <row r="45" spans="1:9" ht="28.2" customHeight="1" x14ac:dyDescent="0.3">
      <c r="A45" s="2"/>
      <c r="B45" s="2"/>
      <c r="C45" s="2"/>
      <c r="D45" s="2"/>
      <c r="E45" s="2"/>
      <c r="F45" s="2"/>
      <c r="G45" s="2"/>
      <c r="H45" s="2"/>
    </row>
    <row r="46" spans="1:9" ht="28.2" customHeight="1" x14ac:dyDescent="0.3">
      <c r="A46" s="2"/>
      <c r="B46" s="2"/>
      <c r="C46" s="2"/>
      <c r="D46" s="2"/>
      <c r="E46" s="2"/>
      <c r="F46" s="2"/>
      <c r="G46" s="2"/>
      <c r="H46" s="2"/>
    </row>
    <row r="47" spans="1:9" ht="28.2" customHeight="1" x14ac:dyDescent="0.3">
      <c r="A47" s="2"/>
      <c r="B47" s="2"/>
      <c r="C47" s="2"/>
      <c r="D47" s="2"/>
      <c r="E47" s="2"/>
      <c r="F47" s="2"/>
      <c r="G47" s="2"/>
      <c r="H47" s="2"/>
    </row>
    <row r="48" spans="1:9" ht="28.2" customHeight="1" x14ac:dyDescent="0.3">
      <c r="A48" s="2"/>
      <c r="B48" s="2"/>
      <c r="C48" s="2"/>
      <c r="D48" s="2"/>
      <c r="E48" s="2"/>
      <c r="F48" s="2"/>
      <c r="G48" s="2"/>
      <c r="H48" s="2"/>
    </row>
  </sheetData>
  <mergeCells count="3">
    <mergeCell ref="E1:F1"/>
    <mergeCell ref="E3:F3"/>
    <mergeCell ref="D2:G2"/>
  </mergeCells>
  <phoneticPr fontId="8" type="noConversion"/>
  <dataValidations count="1">
    <dataValidation allowBlank="1" showInputMessage="1" showErrorMessage="1" errorTitle="ERREUR DE SAISIE" error="Selectionnez dans la liste" sqref="H5:I40" xr:uid="{9A3B49D0-A3F4-4DF9-8C46-0CB068691DF2}"/>
  </dataValidations>
  <pageMargins left="0.7" right="0.7" top="0.75" bottom="0.75" header="0.3" footer="0.3"/>
  <pageSetup paperSize="9" orientation="portrait" horizontalDpi="300" verticalDpi="3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 Fottoh</dc:creator>
  <cp:lastModifiedBy>Djakaridia Traoré</cp:lastModifiedBy>
  <dcterms:created xsi:type="dcterms:W3CDTF">2026-08-11T15:13:37Z</dcterms:created>
  <dcterms:modified xsi:type="dcterms:W3CDTF">2026-08-12T15:30:51Z</dcterms:modified>
</cp:coreProperties>
</file>